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hish Yadav\Downloads\"/>
    </mc:Choice>
  </mc:AlternateContent>
  <bookViews>
    <workbookView xWindow="-110" yWindow="-110" windowWidth="19420" windowHeight="10300"/>
  </bookViews>
  <sheets>
    <sheet name="DAILY EXP." sheetId="1" r:id="rId1"/>
    <sheet name="DRIVER EXP." sheetId="3" r:id="rId2"/>
    <sheet name="CASH RECEIVED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I10" i="3"/>
  <c r="K28" i="1"/>
  <c r="I15" i="3"/>
  <c r="I14" i="3"/>
  <c r="G13" i="3"/>
  <c r="G16" i="3"/>
  <c r="G17" i="3"/>
  <c r="G18" i="3"/>
  <c r="G19" i="3"/>
  <c r="G20" i="3"/>
  <c r="G21" i="3"/>
  <c r="K21" i="3" s="1"/>
  <c r="M21" i="3" s="1"/>
  <c r="G22" i="3"/>
  <c r="K22" i="3" s="1"/>
  <c r="M22" i="3" s="1"/>
  <c r="G23" i="3"/>
  <c r="K23" i="3" s="1"/>
  <c r="M23" i="3" s="1"/>
  <c r="G24" i="3"/>
  <c r="K24" i="3" s="1"/>
  <c r="M24" i="3" s="1"/>
  <c r="G9" i="3"/>
  <c r="K9" i="3" s="1"/>
  <c r="M9" i="3" s="1"/>
  <c r="G10" i="3"/>
  <c r="G11" i="3"/>
  <c r="G12" i="3"/>
  <c r="G8" i="3"/>
  <c r="M16" i="3"/>
  <c r="M17" i="3"/>
  <c r="M18" i="3"/>
  <c r="M19" i="3"/>
  <c r="K16" i="3"/>
  <c r="K17" i="3"/>
  <c r="K18" i="3"/>
  <c r="K19" i="3"/>
  <c r="K20" i="3"/>
  <c r="M20" i="3" s="1"/>
  <c r="F10" i="3"/>
  <c r="F11" i="3"/>
  <c r="K11" i="3" s="1"/>
  <c r="M11" i="3" s="1"/>
  <c r="F12" i="3"/>
  <c r="F13" i="3"/>
  <c r="K13" i="3" s="1"/>
  <c r="M13" i="3" s="1"/>
  <c r="F14" i="3"/>
  <c r="G14" i="3" s="1"/>
  <c r="F15" i="3"/>
  <c r="G15" i="3" s="1"/>
  <c r="F16" i="3"/>
  <c r="F17" i="3"/>
  <c r="F18" i="3"/>
  <c r="F19" i="3"/>
  <c r="F20" i="3"/>
  <c r="F21" i="3"/>
  <c r="F22" i="3"/>
  <c r="F23" i="3"/>
  <c r="F24" i="3"/>
  <c r="L8" i="3"/>
  <c r="A6" i="4"/>
  <c r="I7" i="3"/>
  <c r="K7" i="3" s="1"/>
  <c r="M7" i="3" s="1"/>
  <c r="K8" i="3"/>
  <c r="M8" i="3" s="1"/>
  <c r="F6" i="3"/>
  <c r="G6" i="3" s="1"/>
  <c r="K6" i="3" s="1"/>
  <c r="M6" i="3" s="1"/>
  <c r="F7" i="3"/>
  <c r="G7" i="3" s="1"/>
  <c r="F8" i="3"/>
  <c r="F9" i="3"/>
  <c r="K10" i="3" l="1"/>
  <c r="M10" i="3" s="1"/>
  <c r="K15" i="3"/>
  <c r="M15" i="3" s="1"/>
  <c r="K14" i="3"/>
  <c r="M14" i="3" s="1"/>
  <c r="K12" i="3"/>
  <c r="M12" i="3" s="1"/>
  <c r="I5" i="3"/>
  <c r="L3" i="3" l="1"/>
  <c r="K18" i="1"/>
  <c r="K17" i="1"/>
  <c r="K16" i="1"/>
  <c r="K15" i="1"/>
  <c r="K19" i="1"/>
  <c r="K20" i="1"/>
  <c r="K21" i="1"/>
  <c r="K22" i="1"/>
  <c r="K23" i="1"/>
  <c r="K24" i="1"/>
  <c r="K25" i="1"/>
  <c r="K26" i="1"/>
  <c r="K27" i="1"/>
  <c r="K29" i="1"/>
  <c r="F5" i="3"/>
  <c r="G5" i="3" s="1"/>
  <c r="K5" i="3" s="1"/>
  <c r="M5" i="3" s="1"/>
  <c r="F4" i="3"/>
  <c r="G4" i="3" s="1"/>
  <c r="K4" i="3" s="1"/>
  <c r="M4" i="3" s="1"/>
  <c r="F3" i="3"/>
  <c r="G3" i="3" s="1"/>
  <c r="K3" i="3" s="1"/>
  <c r="F2" i="3"/>
  <c r="G2" i="3" s="1"/>
  <c r="K2" i="3" s="1"/>
  <c r="M2" i="3" s="1"/>
  <c r="M3" i="3" l="1"/>
  <c r="K12" i="1"/>
  <c r="K13" i="1"/>
  <c r="K14" i="1"/>
  <c r="K11" i="1"/>
  <c r="K10" i="1" l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<sst xmlns="http://schemas.openxmlformats.org/spreadsheetml/2006/main" count="176" uniqueCount="53">
  <si>
    <t>VEHICLE NO</t>
  </si>
  <si>
    <t>DATE</t>
  </si>
  <si>
    <t>FROM</t>
  </si>
  <si>
    <t>TO</t>
  </si>
  <si>
    <t>CHARGING COST</t>
  </si>
  <si>
    <t>TOLL</t>
  </si>
  <si>
    <t>DRIVER ON ACCOUNT</t>
  </si>
  <si>
    <t>OTHER EXP.</t>
  </si>
  <si>
    <t>FARUKHNAGAR</t>
  </si>
  <si>
    <t>GHAZIABAD</t>
  </si>
  <si>
    <t>REMARK</t>
  </si>
  <si>
    <t>TOTAL TRIP COST</t>
  </si>
  <si>
    <t>1870 CHARGING POINT INST,200 PARKING,400 TOWING</t>
  </si>
  <si>
    <t>HR55AZ7393</t>
  </si>
  <si>
    <t>CASH RECEIVED</t>
  </si>
  <si>
    <t>CASH RECEIVED DATE</t>
  </si>
  <si>
    <t>HR55AX9466</t>
  </si>
  <si>
    <t>BAJGHERA</t>
  </si>
  <si>
    <t>HR55AX9770</t>
  </si>
  <si>
    <t>HR55AY5239</t>
  </si>
  <si>
    <t>HR55AY6310</t>
  </si>
  <si>
    <t>2000  TOWING</t>
  </si>
  <si>
    <t>BATTERY CHARGE</t>
  </si>
  <si>
    <t>CNG</t>
  </si>
  <si>
    <t>CNG TRF</t>
  </si>
  <si>
    <t>BATTERY CHARGE)(4230 all vehicles cng trf local vehicle)</t>
  </si>
  <si>
    <t>FASTAG INST.</t>
  </si>
  <si>
    <t>SONIPAT</t>
  </si>
  <si>
    <t>KM</t>
  </si>
  <si>
    <t>CASH PAID TO DRIVER</t>
  </si>
  <si>
    <t>BALANCE</t>
  </si>
  <si>
    <t>RATE</t>
  </si>
  <si>
    <t>TOTAL</t>
  </si>
  <si>
    <t>LABOUR</t>
  </si>
  <si>
    <t>DEHRADUN</t>
  </si>
  <si>
    <t>KARNAL</t>
  </si>
  <si>
    <t>TRIP EXP</t>
  </si>
  <si>
    <t>(200 NUMBER PLATE 200 AIR, 1500 LABOUR)</t>
  </si>
  <si>
    <t>(600 WASHING,200 NUMBER PLATE,150 AIR,250 LOCK, 60 DALA)</t>
  </si>
  <si>
    <t>MORADABAD</t>
  </si>
  <si>
    <t>GREATER NOIDA</t>
  </si>
  <si>
    <t>WALET (26-12-2025) LABOUR</t>
  </si>
  <si>
    <t>WALET (27-12-2025)LABOUR</t>
  </si>
  <si>
    <t>(600 WASHING,200 NUMBER PLATE,200 AIR)</t>
  </si>
  <si>
    <t>LABOUR,PASCO REPAIR</t>
  </si>
  <si>
    <t>PATAUDI</t>
  </si>
  <si>
    <t>PALWAL</t>
  </si>
  <si>
    <t>(LOCK,LABOUR)</t>
  </si>
  <si>
    <t>BHIWANI</t>
  </si>
  <si>
    <t>LABOUR.DALA</t>
  </si>
  <si>
    <t>balance</t>
  </si>
  <si>
    <t>LABOUR,</t>
  </si>
  <si>
    <t>Indent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</si>
</sst>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4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workbookViewId="0">
      <selection activeCell="E10" sqref="E10"/>
    </sheetView>
  </sheetViews>
  <sheetFormatPr defaultColWidth="8.75" defaultRowHeight="14"/>
  <cols>
    <col min="1" max="1" width="10.83203125" style="5" bestFit="1" customWidth="1"/>
    <col min="2" max="2" width="10.83203125" style="5" customWidth="1"/>
    <col min="3" max="3" width="10.08203125" style="5" bestFit="1" customWidth="1"/>
    <col min="4" max="5" width="13.4140625" style="5" bestFit="1" customWidth="1"/>
    <col min="6" max="6" width="15" style="5" bestFit="1" customWidth="1"/>
    <col min="7" max="7" width="8.75" style="5"/>
    <col min="8" max="8" width="18.83203125" style="12" bestFit="1" customWidth="1"/>
    <col min="9" max="9" width="10.4140625" style="5" bestFit="1" customWidth="1"/>
    <col min="10" max="10" width="24.9140625" style="7" customWidth="1"/>
    <col min="11" max="11" width="15" style="5" bestFit="1" customWidth="1"/>
    <col min="12" max="16384" width="8.75" style="5"/>
  </cols>
  <sheetData>
    <row r="1" spans="1:11" s="2" customFormat="1">
      <c r="A1" s="1" t="s">
        <v>0</v>
      </c>
      <c r="B1" s="22" t="s">
        <v>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0" t="s">
        <v>6</v>
      </c>
      <c r="I1" s="1" t="s">
        <v>7</v>
      </c>
      <c r="J1" s="1" t="s">
        <v>10</v>
      </c>
      <c r="K1" s="1" t="s">
        <v>11</v>
      </c>
    </row>
    <row r="2" spans="1:11">
      <c r="A2" s="3" t="s">
        <v>13</v>
      </c>
      <c r="B2" s="3"/>
      <c r="C2" s="4">
        <v>45967</v>
      </c>
      <c r="D2" s="3" t="s">
        <v>8</v>
      </c>
      <c r="E2" s="3" t="s">
        <v>9</v>
      </c>
      <c r="F2" s="3">
        <v>1375</v>
      </c>
      <c r="G2" s="3">
        <v>435</v>
      </c>
      <c r="H2" s="11">
        <v>2700</v>
      </c>
      <c r="I2" s="3">
        <v>2470</v>
      </c>
      <c r="J2" s="6" t="s">
        <v>12</v>
      </c>
      <c r="K2" s="3">
        <f t="shared" ref="K2:K29" si="0">F2+G2+H2+I2</f>
        <v>6980</v>
      </c>
    </row>
    <row r="3" spans="1:11">
      <c r="A3" s="3" t="s">
        <v>16</v>
      </c>
      <c r="B3" s="3"/>
      <c r="C3" s="4">
        <v>45994</v>
      </c>
      <c r="D3" s="3" t="s">
        <v>17</v>
      </c>
      <c r="E3" s="3" t="s">
        <v>8</v>
      </c>
      <c r="F3" s="3">
        <v>1000</v>
      </c>
      <c r="G3" s="3">
        <v>0</v>
      </c>
      <c r="H3" s="11">
        <v>0</v>
      </c>
      <c r="I3" s="3">
        <v>700</v>
      </c>
      <c r="J3" s="6"/>
      <c r="K3" s="3">
        <f t="shared" si="0"/>
        <v>1700</v>
      </c>
    </row>
    <row r="4" spans="1:11">
      <c r="A4" s="3" t="s">
        <v>18</v>
      </c>
      <c r="B4" s="3"/>
      <c r="C4" s="4">
        <v>45994</v>
      </c>
      <c r="D4" s="3" t="s">
        <v>17</v>
      </c>
      <c r="E4" s="3" t="s">
        <v>8</v>
      </c>
      <c r="F4" s="3">
        <v>1000</v>
      </c>
      <c r="G4" s="3">
        <v>0</v>
      </c>
      <c r="H4" s="11">
        <v>0</v>
      </c>
      <c r="I4" s="3">
        <v>300</v>
      </c>
      <c r="J4" s="6" t="s">
        <v>22</v>
      </c>
      <c r="K4" s="3">
        <f t="shared" si="0"/>
        <v>1300</v>
      </c>
    </row>
    <row r="5" spans="1:11">
      <c r="A5" s="3" t="s">
        <v>19</v>
      </c>
      <c r="B5" s="3"/>
      <c r="C5" s="4">
        <v>45994</v>
      </c>
      <c r="D5" s="3" t="s">
        <v>17</v>
      </c>
      <c r="E5" s="3" t="s">
        <v>8</v>
      </c>
      <c r="F5" s="3">
        <v>1000</v>
      </c>
      <c r="G5" s="3">
        <v>0</v>
      </c>
      <c r="H5" s="11">
        <v>0</v>
      </c>
      <c r="I5" s="3">
        <v>300</v>
      </c>
      <c r="J5" s="6" t="s">
        <v>22</v>
      </c>
      <c r="K5" s="3">
        <f t="shared" si="0"/>
        <v>1300</v>
      </c>
    </row>
    <row r="6" spans="1:11">
      <c r="A6" s="3" t="s">
        <v>20</v>
      </c>
      <c r="B6" s="3"/>
      <c r="C6" s="4">
        <v>45994</v>
      </c>
      <c r="D6" s="3" t="s">
        <v>17</v>
      </c>
      <c r="E6" s="3" t="s">
        <v>8</v>
      </c>
      <c r="F6" s="3">
        <v>1000</v>
      </c>
      <c r="G6" s="3">
        <v>0</v>
      </c>
      <c r="H6" s="11">
        <v>0</v>
      </c>
      <c r="I6" s="3">
        <v>2000</v>
      </c>
      <c r="J6" s="6" t="s">
        <v>21</v>
      </c>
      <c r="K6" s="3">
        <f t="shared" si="0"/>
        <v>3000</v>
      </c>
    </row>
    <row r="7" spans="1:11">
      <c r="A7" s="3" t="s">
        <v>18</v>
      </c>
      <c r="B7" s="3"/>
      <c r="C7" s="4">
        <v>46004</v>
      </c>
      <c r="D7" s="3"/>
      <c r="E7" s="3" t="s">
        <v>8</v>
      </c>
      <c r="F7" s="3">
        <v>500</v>
      </c>
      <c r="G7" s="3">
        <v>0</v>
      </c>
      <c r="H7" s="11">
        <v>260</v>
      </c>
      <c r="I7" s="3">
        <v>1500</v>
      </c>
      <c r="J7" s="6" t="s">
        <v>22</v>
      </c>
      <c r="K7" s="3">
        <f t="shared" si="0"/>
        <v>2260</v>
      </c>
    </row>
    <row r="8" spans="1:11">
      <c r="A8" s="3" t="s">
        <v>16</v>
      </c>
      <c r="B8" s="3"/>
      <c r="C8" s="4">
        <v>46004</v>
      </c>
      <c r="D8" s="3"/>
      <c r="E8" s="3" t="s">
        <v>8</v>
      </c>
      <c r="F8" s="3">
        <v>500</v>
      </c>
      <c r="G8" s="3">
        <v>0</v>
      </c>
      <c r="H8" s="11">
        <v>0</v>
      </c>
      <c r="I8" s="3">
        <v>4847</v>
      </c>
      <c r="J8" s="6" t="s">
        <v>23</v>
      </c>
      <c r="K8" s="3">
        <f t="shared" si="0"/>
        <v>5347</v>
      </c>
    </row>
    <row r="9" spans="1:11">
      <c r="A9" s="3" t="s">
        <v>19</v>
      </c>
      <c r="B9" s="3"/>
      <c r="C9" s="4">
        <v>46004</v>
      </c>
      <c r="D9" s="3"/>
      <c r="E9" s="3" t="s">
        <v>8</v>
      </c>
      <c r="F9" s="3">
        <v>600</v>
      </c>
      <c r="G9" s="3">
        <v>0</v>
      </c>
      <c r="H9" s="11">
        <v>0</v>
      </c>
      <c r="I9" s="3">
        <v>3500</v>
      </c>
      <c r="J9" s="6" t="s">
        <v>24</v>
      </c>
      <c r="K9" s="3">
        <f t="shared" si="0"/>
        <v>4100</v>
      </c>
    </row>
    <row r="10" spans="1:11">
      <c r="A10" s="3" t="s">
        <v>20</v>
      </c>
      <c r="B10" s="3"/>
      <c r="C10" s="4">
        <v>46004</v>
      </c>
      <c r="D10" s="3"/>
      <c r="E10" s="3" t="s">
        <v>8</v>
      </c>
      <c r="F10" s="3">
        <v>4230</v>
      </c>
      <c r="G10" s="3">
        <v>0</v>
      </c>
      <c r="H10" s="11">
        <v>0</v>
      </c>
      <c r="I10" s="3">
        <v>2500</v>
      </c>
      <c r="J10" s="6" t="s">
        <v>25</v>
      </c>
      <c r="K10" s="3">
        <f t="shared" si="0"/>
        <v>6730</v>
      </c>
    </row>
    <row r="11" spans="1:11">
      <c r="A11" s="3" t="s">
        <v>18</v>
      </c>
      <c r="B11" s="3"/>
      <c r="C11" s="4">
        <v>46013</v>
      </c>
      <c r="D11" s="3"/>
      <c r="E11" s="3" t="s">
        <v>8</v>
      </c>
      <c r="F11" s="3">
        <v>0</v>
      </c>
      <c r="G11" s="3">
        <v>500</v>
      </c>
      <c r="H11" s="11">
        <v>0</v>
      </c>
      <c r="I11" s="3">
        <v>0</v>
      </c>
      <c r="J11" s="6" t="s">
        <v>26</v>
      </c>
      <c r="K11" s="3">
        <f t="shared" si="0"/>
        <v>500</v>
      </c>
    </row>
    <row r="12" spans="1:11">
      <c r="A12" s="3" t="s">
        <v>16</v>
      </c>
      <c r="B12" s="3"/>
      <c r="C12" s="4">
        <v>46013</v>
      </c>
      <c r="D12" s="3"/>
      <c r="E12" s="3" t="s">
        <v>8</v>
      </c>
      <c r="F12" s="3">
        <v>0</v>
      </c>
      <c r="G12" s="3">
        <v>500</v>
      </c>
      <c r="H12" s="11">
        <v>0</v>
      </c>
      <c r="I12" s="3">
        <v>0</v>
      </c>
      <c r="J12" s="6" t="s">
        <v>26</v>
      </c>
      <c r="K12" s="3">
        <f t="shared" si="0"/>
        <v>500</v>
      </c>
    </row>
    <row r="13" spans="1:11">
      <c r="A13" s="3" t="s">
        <v>19</v>
      </c>
      <c r="B13" s="3"/>
      <c r="C13" s="4">
        <v>46013</v>
      </c>
      <c r="D13" s="3"/>
      <c r="E13" s="3" t="s">
        <v>8</v>
      </c>
      <c r="F13" s="3">
        <v>0</v>
      </c>
      <c r="G13" s="3">
        <v>500</v>
      </c>
      <c r="H13" s="11">
        <v>0</v>
      </c>
      <c r="I13" s="3">
        <v>0</v>
      </c>
      <c r="J13" s="6" t="s">
        <v>26</v>
      </c>
      <c r="K13" s="3">
        <f t="shared" si="0"/>
        <v>500</v>
      </c>
    </row>
    <row r="14" spans="1:11">
      <c r="A14" s="3" t="s">
        <v>20</v>
      </c>
      <c r="B14" s="3"/>
      <c r="C14" s="4">
        <v>46013</v>
      </c>
      <c r="D14" s="3"/>
      <c r="E14" s="3" t="s">
        <v>8</v>
      </c>
      <c r="F14" s="3">
        <v>0</v>
      </c>
      <c r="G14" s="3">
        <v>500</v>
      </c>
      <c r="H14" s="11">
        <v>0</v>
      </c>
      <c r="I14" s="3">
        <v>0</v>
      </c>
      <c r="J14" s="6" t="s">
        <v>26</v>
      </c>
      <c r="K14" s="3">
        <f t="shared" si="0"/>
        <v>500</v>
      </c>
    </row>
    <row r="15" spans="1:11">
      <c r="A15" s="3" t="s">
        <v>19</v>
      </c>
      <c r="B15" s="3"/>
      <c r="C15" s="9">
        <v>46014</v>
      </c>
      <c r="D15" s="8" t="s">
        <v>8</v>
      </c>
      <c r="E15" s="8" t="s">
        <v>27</v>
      </c>
      <c r="F15" s="3">
        <v>0</v>
      </c>
      <c r="G15" s="21">
        <v>1000</v>
      </c>
      <c r="H15" s="11">
        <v>0</v>
      </c>
      <c r="I15" s="3">
        <v>3337</v>
      </c>
      <c r="J15" s="6" t="s">
        <v>36</v>
      </c>
      <c r="K15" s="3">
        <f t="shared" si="0"/>
        <v>4337</v>
      </c>
    </row>
    <row r="16" spans="1:11">
      <c r="A16" s="3" t="s">
        <v>19</v>
      </c>
      <c r="B16" s="3"/>
      <c r="C16" s="9">
        <v>46015</v>
      </c>
      <c r="D16" s="8" t="s">
        <v>27</v>
      </c>
      <c r="E16" s="8" t="s">
        <v>34</v>
      </c>
      <c r="F16" s="3">
        <v>0</v>
      </c>
      <c r="G16" s="21">
        <v>1000</v>
      </c>
      <c r="H16" s="11">
        <v>0</v>
      </c>
      <c r="I16" s="3">
        <v>7520</v>
      </c>
      <c r="J16" s="6" t="s">
        <v>36</v>
      </c>
      <c r="K16" s="3">
        <f t="shared" si="0"/>
        <v>8520</v>
      </c>
    </row>
    <row r="17" spans="1:11">
      <c r="A17" s="3" t="s">
        <v>18</v>
      </c>
      <c r="B17" s="3"/>
      <c r="C17" s="9">
        <v>46016</v>
      </c>
      <c r="D17" s="8" t="s">
        <v>8</v>
      </c>
      <c r="E17" s="8" t="s">
        <v>27</v>
      </c>
      <c r="F17" s="3">
        <v>0</v>
      </c>
      <c r="G17" s="3"/>
      <c r="H17" s="11">
        <v>0</v>
      </c>
      <c r="I17" s="3">
        <v>1576</v>
      </c>
      <c r="J17" s="6" t="s">
        <v>36</v>
      </c>
      <c r="K17" s="3">
        <f t="shared" si="0"/>
        <v>1576</v>
      </c>
    </row>
    <row r="18" spans="1:11">
      <c r="A18" s="3" t="s">
        <v>18</v>
      </c>
      <c r="B18" s="3"/>
      <c r="C18" s="9">
        <v>46016</v>
      </c>
      <c r="D18" s="8" t="s">
        <v>27</v>
      </c>
      <c r="E18" s="8" t="s">
        <v>35</v>
      </c>
      <c r="F18" s="3">
        <v>0</v>
      </c>
      <c r="G18" s="21">
        <v>2000</v>
      </c>
      <c r="H18" s="11">
        <v>0</v>
      </c>
      <c r="I18" s="3">
        <v>4910</v>
      </c>
      <c r="J18" s="6" t="s">
        <v>36</v>
      </c>
      <c r="K18" s="3">
        <f t="shared" si="0"/>
        <v>6910</v>
      </c>
    </row>
    <row r="19" spans="1:11">
      <c r="A19" s="3" t="s">
        <v>19</v>
      </c>
      <c r="B19" s="3"/>
      <c r="C19" s="9">
        <v>46017</v>
      </c>
      <c r="D19" s="8" t="s">
        <v>27</v>
      </c>
      <c r="E19" s="8" t="s">
        <v>39</v>
      </c>
      <c r="F19" s="3">
        <v>0</v>
      </c>
      <c r="G19" s="21">
        <v>2000</v>
      </c>
      <c r="H19" s="11">
        <v>0</v>
      </c>
      <c r="I19" s="3">
        <v>4653</v>
      </c>
      <c r="J19" s="6" t="s">
        <v>41</v>
      </c>
      <c r="K19" s="3">
        <f t="shared" si="0"/>
        <v>6653</v>
      </c>
    </row>
    <row r="20" spans="1:11">
      <c r="A20" s="3" t="s">
        <v>18</v>
      </c>
      <c r="B20" s="3"/>
      <c r="C20" s="9">
        <v>46017</v>
      </c>
      <c r="D20" s="8" t="s">
        <v>27</v>
      </c>
      <c r="E20" s="8" t="s">
        <v>40</v>
      </c>
      <c r="F20" s="3">
        <v>0</v>
      </c>
      <c r="G20" s="21">
        <v>2000</v>
      </c>
      <c r="H20" s="11">
        <v>0</v>
      </c>
      <c r="I20" s="3">
        <v>4897</v>
      </c>
      <c r="J20" s="6" t="s">
        <v>42</v>
      </c>
      <c r="K20" s="3">
        <f t="shared" si="0"/>
        <v>6897</v>
      </c>
    </row>
    <row r="21" spans="1:11">
      <c r="A21" s="17" t="s">
        <v>16</v>
      </c>
      <c r="B21" s="17"/>
      <c r="C21" s="9">
        <v>46017</v>
      </c>
      <c r="D21" s="8" t="s">
        <v>8</v>
      </c>
      <c r="E21" s="8" t="s">
        <v>27</v>
      </c>
      <c r="F21" s="3">
        <v>0</v>
      </c>
      <c r="G21" s="21">
        <v>2000</v>
      </c>
      <c r="H21" s="11">
        <v>0</v>
      </c>
      <c r="I21" s="3">
        <v>2595</v>
      </c>
      <c r="J21" s="6" t="s">
        <v>42</v>
      </c>
      <c r="K21" s="3">
        <f t="shared" si="0"/>
        <v>4595</v>
      </c>
    </row>
    <row r="22" spans="1:11">
      <c r="A22" s="17" t="s">
        <v>16</v>
      </c>
      <c r="B22" s="17"/>
      <c r="C22" s="18">
        <v>46018</v>
      </c>
      <c r="D22" s="19" t="s">
        <v>27</v>
      </c>
      <c r="E22" s="19" t="s">
        <v>35</v>
      </c>
      <c r="F22" s="3">
        <v>0</v>
      </c>
      <c r="G22" s="21">
        <v>2000</v>
      </c>
      <c r="H22" s="11">
        <v>0</v>
      </c>
      <c r="I22" s="3">
        <v>4545</v>
      </c>
      <c r="J22" s="6" t="s">
        <v>42</v>
      </c>
      <c r="K22" s="3">
        <f t="shared" si="0"/>
        <v>6545</v>
      </c>
    </row>
    <row r="23" spans="1:11">
      <c r="A23" s="3" t="s">
        <v>18</v>
      </c>
      <c r="B23" s="3"/>
      <c r="C23" s="9">
        <v>46018</v>
      </c>
      <c r="D23" s="8" t="s">
        <v>27</v>
      </c>
      <c r="E23" s="8" t="s">
        <v>45</v>
      </c>
      <c r="F23" s="3">
        <v>0</v>
      </c>
      <c r="G23" s="21">
        <v>2000</v>
      </c>
      <c r="H23" s="11">
        <v>0</v>
      </c>
      <c r="I23" s="3">
        <v>2690</v>
      </c>
      <c r="J23" s="6" t="s">
        <v>42</v>
      </c>
      <c r="K23" s="3">
        <f t="shared" si="0"/>
        <v>4690</v>
      </c>
    </row>
    <row r="24" spans="1:11">
      <c r="A24" s="3" t="s">
        <v>20</v>
      </c>
      <c r="B24" s="3"/>
      <c r="C24" s="9">
        <v>46018</v>
      </c>
      <c r="D24" s="8" t="s">
        <v>8</v>
      </c>
      <c r="E24" s="8" t="s">
        <v>27</v>
      </c>
      <c r="F24" s="3">
        <v>0</v>
      </c>
      <c r="G24" s="3"/>
      <c r="H24" s="11">
        <v>0</v>
      </c>
      <c r="I24" s="3">
        <v>2595</v>
      </c>
      <c r="J24" s="6"/>
      <c r="K24" s="3">
        <f t="shared" si="0"/>
        <v>2595</v>
      </c>
    </row>
    <row r="25" spans="1:11">
      <c r="A25" s="3" t="s">
        <v>20</v>
      </c>
      <c r="B25" s="3"/>
      <c r="C25" s="9">
        <v>46019</v>
      </c>
      <c r="D25" s="8" t="s">
        <v>27</v>
      </c>
      <c r="E25" s="8" t="s">
        <v>35</v>
      </c>
      <c r="F25" s="3">
        <v>0</v>
      </c>
      <c r="G25" s="3"/>
      <c r="H25" s="11">
        <v>0</v>
      </c>
      <c r="I25" s="3">
        <v>4545</v>
      </c>
      <c r="J25" s="6"/>
      <c r="K25" s="3">
        <f t="shared" si="0"/>
        <v>4545</v>
      </c>
    </row>
    <row r="26" spans="1:11">
      <c r="A26" s="17" t="s">
        <v>19</v>
      </c>
      <c r="B26" s="17"/>
      <c r="C26" s="9">
        <v>46019</v>
      </c>
      <c r="D26" s="8" t="s">
        <v>27</v>
      </c>
      <c r="E26" s="8" t="s">
        <v>46</v>
      </c>
      <c r="F26" s="3">
        <v>0</v>
      </c>
      <c r="G26" s="3"/>
      <c r="H26" s="11">
        <v>0</v>
      </c>
      <c r="I26" s="3">
        <v>5995</v>
      </c>
      <c r="J26" s="6"/>
      <c r="K26" s="3">
        <f t="shared" si="0"/>
        <v>5995</v>
      </c>
    </row>
    <row r="27" spans="1:11">
      <c r="A27" s="3" t="s">
        <v>16</v>
      </c>
      <c r="B27" s="3"/>
      <c r="C27" s="9">
        <v>46019</v>
      </c>
      <c r="D27" s="8" t="s">
        <v>27</v>
      </c>
      <c r="E27" s="8" t="s">
        <v>46</v>
      </c>
      <c r="F27" s="3">
        <v>0</v>
      </c>
      <c r="G27" s="3"/>
      <c r="H27" s="11">
        <v>0</v>
      </c>
      <c r="I27" s="3">
        <v>6145</v>
      </c>
      <c r="J27" s="6"/>
      <c r="K27" s="3">
        <f t="shared" si="0"/>
        <v>6145</v>
      </c>
    </row>
    <row r="28" spans="1:11">
      <c r="A28" s="3" t="s">
        <v>18</v>
      </c>
      <c r="B28" s="3"/>
      <c r="C28" s="9">
        <v>46018</v>
      </c>
      <c r="D28" s="8" t="s">
        <v>27</v>
      </c>
      <c r="E28" s="8" t="s">
        <v>48</v>
      </c>
      <c r="F28" s="3">
        <v>0</v>
      </c>
      <c r="G28" s="3"/>
      <c r="H28" s="11">
        <v>0</v>
      </c>
      <c r="I28" s="3">
        <v>5258</v>
      </c>
      <c r="J28" s="6"/>
      <c r="K28" s="11">
        <f>F28+G28+H28+I28</f>
        <v>5258</v>
      </c>
    </row>
    <row r="29" spans="1:11">
      <c r="A29" s="3"/>
      <c r="B29" s="3"/>
      <c r="C29" s="3"/>
      <c r="D29" s="3"/>
      <c r="E29" s="3"/>
      <c r="F29" s="3">
        <v>0</v>
      </c>
      <c r="G29" s="3"/>
      <c r="H29" s="11">
        <v>0</v>
      </c>
      <c r="I29" s="3"/>
      <c r="J29" s="6"/>
      <c r="K29" s="3">
        <f t="shared" si="0"/>
        <v>0</v>
      </c>
    </row>
    <row r="30" spans="1:11">
      <c r="A30" s="3"/>
      <c r="B30" s="3"/>
      <c r="C30" s="3"/>
      <c r="D30" s="3"/>
      <c r="E30" s="3"/>
      <c r="F30" s="3">
        <v>0</v>
      </c>
      <c r="G30" s="3"/>
      <c r="H30" s="11">
        <v>0</v>
      </c>
      <c r="I30" s="3"/>
      <c r="J30" s="6"/>
      <c r="K30" s="3"/>
    </row>
    <row r="31" spans="1:11">
      <c r="A31" s="3"/>
      <c r="B31" s="3"/>
      <c r="C31" s="3"/>
      <c r="D31" s="3"/>
      <c r="E31" s="3"/>
      <c r="F31" s="3">
        <v>0</v>
      </c>
      <c r="G31" s="3"/>
      <c r="H31" s="11"/>
      <c r="I31" s="3"/>
      <c r="J31" s="6"/>
      <c r="K31" s="3"/>
    </row>
    <row r="32" spans="1:11">
      <c r="A32" s="3"/>
      <c r="B32" s="3"/>
      <c r="C32" s="3"/>
      <c r="D32" s="3"/>
      <c r="E32" s="3"/>
      <c r="F32" s="3">
        <v>0</v>
      </c>
      <c r="G32" s="3"/>
      <c r="H32" s="11"/>
      <c r="I32" s="3"/>
      <c r="J32" s="6"/>
      <c r="K32" s="3"/>
    </row>
    <row r="33" spans="1:11">
      <c r="A33" s="3"/>
      <c r="B33" s="3"/>
      <c r="C33" s="3"/>
      <c r="D33" s="3"/>
      <c r="E33" s="3"/>
      <c r="F33" s="3">
        <v>0</v>
      </c>
      <c r="G33" s="3"/>
      <c r="H33" s="11"/>
      <c r="I33" s="3"/>
      <c r="J33" s="6"/>
      <c r="K33" s="3"/>
    </row>
    <row r="34" spans="1:11">
      <c r="A34" s="3"/>
      <c r="B34" s="3"/>
      <c r="C34" s="3"/>
      <c r="D34" s="3"/>
      <c r="E34" s="3"/>
      <c r="F34" s="3">
        <v>0</v>
      </c>
      <c r="G34" s="3"/>
      <c r="H34" s="11"/>
      <c r="I34" s="3"/>
      <c r="J34" s="6"/>
      <c r="K34" s="3"/>
    </row>
    <row r="35" spans="1:11">
      <c r="A35" s="3"/>
      <c r="B35" s="3"/>
      <c r="C35" s="3"/>
      <c r="D35" s="3"/>
      <c r="E35" s="3"/>
      <c r="F35" s="3">
        <v>0</v>
      </c>
      <c r="G35" s="3"/>
      <c r="H35" s="11"/>
      <c r="I35" s="3"/>
      <c r="J35" s="6"/>
      <c r="K35" s="3"/>
    </row>
    <row r="36" spans="1:11">
      <c r="A36" s="3"/>
      <c r="B36" s="3"/>
      <c r="C36" s="3"/>
      <c r="D36" s="3"/>
      <c r="E36" s="3"/>
      <c r="F36" s="3">
        <v>0</v>
      </c>
      <c r="G36" s="3"/>
      <c r="H36" s="11"/>
      <c r="I36" s="3"/>
      <c r="J36" s="6"/>
      <c r="K36" s="3"/>
    </row>
    <row r="37" spans="1:11">
      <c r="A37" s="3"/>
      <c r="B37" s="3"/>
      <c r="C37" s="3"/>
      <c r="D37" s="3"/>
      <c r="E37" s="3"/>
      <c r="F37" s="3">
        <v>0</v>
      </c>
      <c r="G37" s="3"/>
      <c r="H37" s="11"/>
      <c r="I37" s="3"/>
      <c r="J37" s="6"/>
      <c r="K37" s="3"/>
    </row>
    <row r="38" spans="1:11">
      <c r="A38" s="3"/>
      <c r="B38" s="3"/>
      <c r="C38" s="3"/>
      <c r="D38" s="3"/>
      <c r="E38" s="3"/>
      <c r="F38" s="3">
        <v>0</v>
      </c>
      <c r="G38" s="3"/>
      <c r="H38" s="11"/>
      <c r="I38" s="3"/>
      <c r="J38" s="6"/>
      <c r="K38" s="3"/>
    </row>
    <row r="39" spans="1:11">
      <c r="A39" s="3"/>
      <c r="B39" s="3"/>
      <c r="C39" s="3"/>
      <c r="D39" s="3"/>
      <c r="E39" s="3"/>
      <c r="F39" s="3"/>
      <c r="G39" s="3"/>
      <c r="H39" s="11"/>
      <c r="I39" s="3"/>
      <c r="J39" s="6"/>
      <c r="K39" s="3"/>
    </row>
    <row r="40" spans="1:11">
      <c r="A40" s="3"/>
      <c r="B40" s="3"/>
      <c r="C40" s="3"/>
      <c r="D40" s="3"/>
      <c r="E40" s="3"/>
      <c r="F40" s="3"/>
      <c r="G40" s="3"/>
      <c r="H40" s="11"/>
      <c r="I40" s="3"/>
      <c r="J40" s="6"/>
      <c r="K40" s="3"/>
    </row>
    <row r="41" spans="1:11">
      <c r="A41" s="3"/>
      <c r="B41" s="3"/>
      <c r="C41" s="3"/>
      <c r="D41" s="3"/>
      <c r="E41" s="3"/>
      <c r="F41" s="3"/>
      <c r="G41" s="3"/>
      <c r="H41" s="11"/>
      <c r="I41" s="3"/>
      <c r="J41" s="6"/>
      <c r="K41" s="3"/>
    </row>
    <row r="42" spans="1:11">
      <c r="A42" s="3"/>
      <c r="B42" s="3"/>
      <c r="C42" s="3"/>
      <c r="D42" s="3"/>
      <c r="E42" s="3"/>
      <c r="F42" s="3"/>
      <c r="G42" s="3"/>
      <c r="H42" s="11"/>
      <c r="I42" s="3"/>
      <c r="J42" s="6"/>
      <c r="K42" s="3"/>
    </row>
    <row r="43" spans="1:11">
      <c r="A43" s="3"/>
      <c r="B43" s="3"/>
      <c r="C43" s="3"/>
      <c r="D43" s="3"/>
      <c r="E43" s="3"/>
      <c r="F43" s="3"/>
      <c r="G43" s="3"/>
      <c r="H43" s="11"/>
      <c r="I43" s="3"/>
      <c r="J43" s="6"/>
      <c r="K43" s="3"/>
    </row>
    <row r="44" spans="1:11">
      <c r="A44" s="3"/>
      <c r="B44" s="3"/>
      <c r="C44" s="3"/>
      <c r="D44" s="3"/>
      <c r="E44" s="3"/>
      <c r="F44" s="3"/>
      <c r="G44" s="3"/>
      <c r="H44" s="11"/>
      <c r="I44" s="3"/>
      <c r="J44" s="6"/>
      <c r="K44" s="3"/>
    </row>
    <row r="45" spans="1:11">
      <c r="A45" s="3"/>
      <c r="B45" s="3"/>
      <c r="C45" s="3"/>
      <c r="D45" s="3"/>
      <c r="E45" s="3"/>
      <c r="F45" s="3"/>
      <c r="G45" s="3"/>
      <c r="H45" s="11"/>
      <c r="I45" s="3"/>
      <c r="J45" s="6"/>
      <c r="K45" s="3"/>
    </row>
    <row r="46" spans="1:11">
      <c r="A46" s="3"/>
      <c r="B46" s="3"/>
      <c r="C46" s="3"/>
      <c r="D46" s="3"/>
      <c r="E46" s="3"/>
      <c r="F46" s="3"/>
      <c r="G46" s="3"/>
      <c r="H46" s="11"/>
      <c r="I46" s="3"/>
      <c r="J46" s="6"/>
      <c r="K46" s="3"/>
    </row>
    <row r="47" spans="1:11">
      <c r="A47" s="3"/>
      <c r="B47" s="3"/>
      <c r="C47" s="3"/>
      <c r="D47" s="3"/>
      <c r="E47" s="3"/>
      <c r="F47" s="3"/>
      <c r="G47" s="3"/>
      <c r="H47" s="11"/>
      <c r="I47" s="3"/>
      <c r="J47" s="6"/>
      <c r="K47" s="3"/>
    </row>
    <row r="48" spans="1:11">
      <c r="A48" s="3"/>
      <c r="B48" s="3"/>
      <c r="C48" s="3"/>
      <c r="D48" s="3"/>
      <c r="E48" s="3"/>
      <c r="F48" s="3"/>
      <c r="G48" s="3"/>
      <c r="H48" s="11"/>
      <c r="I48" s="3"/>
      <c r="J48" s="6"/>
      <c r="K48" s="3"/>
    </row>
    <row r="49" spans="1:11">
      <c r="A49" s="3"/>
      <c r="B49" s="3"/>
      <c r="C49" s="3"/>
      <c r="D49" s="3"/>
      <c r="E49" s="3"/>
      <c r="F49" s="3"/>
      <c r="G49" s="3"/>
      <c r="H49" s="11"/>
      <c r="I49" s="3"/>
      <c r="J49" s="6"/>
      <c r="K49" s="3"/>
    </row>
    <row r="50" spans="1:11">
      <c r="A50" s="3"/>
      <c r="B50" s="3"/>
      <c r="C50" s="3"/>
      <c r="D50" s="3"/>
      <c r="E50" s="3"/>
      <c r="F50" s="3"/>
      <c r="G50" s="3"/>
      <c r="H50" s="11"/>
      <c r="I50" s="3"/>
      <c r="J50" s="6"/>
      <c r="K50" s="3"/>
    </row>
    <row r="51" spans="1:11">
      <c r="A51" s="3"/>
      <c r="B51" s="3"/>
      <c r="C51" s="3"/>
      <c r="D51" s="3"/>
      <c r="E51" s="3"/>
      <c r="F51" s="3"/>
      <c r="G51" s="3"/>
      <c r="H51" s="11"/>
      <c r="I51" s="3"/>
      <c r="J51" s="6"/>
      <c r="K51" s="3"/>
    </row>
    <row r="52" spans="1:11">
      <c r="A52" s="3"/>
      <c r="B52" s="3"/>
      <c r="C52" s="3"/>
      <c r="D52" s="3"/>
      <c r="E52" s="3"/>
      <c r="F52" s="3"/>
      <c r="G52" s="3"/>
      <c r="H52" s="11"/>
      <c r="I52" s="3"/>
      <c r="J52" s="6"/>
      <c r="K52" s="3"/>
    </row>
    <row r="53" spans="1:11">
      <c r="A53" s="3"/>
      <c r="B53" s="3"/>
      <c r="C53" s="3"/>
      <c r="D53" s="3"/>
      <c r="E53" s="3"/>
      <c r="F53" s="3"/>
      <c r="G53" s="3"/>
      <c r="H53" s="11"/>
      <c r="I53" s="3"/>
      <c r="J53" s="6"/>
      <c r="K53" s="3"/>
    </row>
    <row r="54" spans="1:11">
      <c r="A54" s="3"/>
      <c r="B54" s="3"/>
      <c r="C54" s="3"/>
      <c r="D54" s="3"/>
      <c r="E54" s="3"/>
      <c r="F54" s="3"/>
      <c r="G54" s="3"/>
      <c r="H54" s="11"/>
      <c r="I54" s="3"/>
      <c r="J54" s="6"/>
      <c r="K54" s="3"/>
    </row>
    <row r="55" spans="1:11">
      <c r="A55" s="3"/>
      <c r="B55" s="3"/>
      <c r="C55" s="3"/>
      <c r="D55" s="3"/>
      <c r="E55" s="3"/>
      <c r="F55" s="3"/>
      <c r="G55" s="3"/>
      <c r="H55" s="11"/>
      <c r="I55" s="3"/>
      <c r="J55" s="6"/>
      <c r="K55" s="3"/>
    </row>
    <row r="56" spans="1:11">
      <c r="A56" s="3"/>
      <c r="B56" s="3"/>
      <c r="C56" s="3"/>
      <c r="D56" s="3"/>
      <c r="E56" s="3"/>
      <c r="F56" s="3"/>
      <c r="G56" s="3"/>
      <c r="H56" s="11"/>
      <c r="I56" s="3"/>
      <c r="J56" s="6"/>
      <c r="K56" s="3"/>
    </row>
    <row r="57" spans="1:11">
      <c r="A57" s="3"/>
      <c r="B57" s="3"/>
      <c r="C57" s="3"/>
      <c r="D57" s="3"/>
      <c r="E57" s="3"/>
      <c r="F57" s="3"/>
      <c r="G57" s="3"/>
      <c r="H57" s="11"/>
      <c r="I57" s="3"/>
      <c r="J57" s="6"/>
      <c r="K57" s="3"/>
    </row>
    <row r="58" spans="1:11">
      <c r="A58" s="3"/>
      <c r="B58" s="3"/>
      <c r="C58" s="3"/>
      <c r="D58" s="3"/>
      <c r="E58" s="3"/>
      <c r="F58" s="3"/>
      <c r="G58" s="3"/>
      <c r="H58" s="11"/>
      <c r="I58" s="3"/>
      <c r="J58" s="6"/>
      <c r="K58" s="3"/>
    </row>
    <row r="59" spans="1:11">
      <c r="A59" s="3"/>
      <c r="B59" s="3"/>
      <c r="C59" s="3"/>
      <c r="D59" s="3"/>
      <c r="E59" s="3"/>
      <c r="F59" s="3"/>
      <c r="G59" s="3"/>
      <c r="H59" s="11"/>
      <c r="I59" s="3"/>
      <c r="J59" s="6"/>
      <c r="K59" s="3"/>
    </row>
    <row r="60" spans="1:11">
      <c r="A60" s="3"/>
      <c r="B60" s="3"/>
      <c r="C60" s="3"/>
      <c r="D60" s="3"/>
      <c r="E60" s="3"/>
      <c r="F60" s="3"/>
      <c r="G60" s="3"/>
      <c r="H60" s="11"/>
      <c r="I60" s="3"/>
      <c r="J60" s="6"/>
      <c r="K60" s="3"/>
    </row>
    <row r="61" spans="1:11">
      <c r="A61" s="3"/>
      <c r="B61" s="3"/>
      <c r="C61" s="3"/>
      <c r="D61" s="3"/>
      <c r="E61" s="3"/>
      <c r="F61" s="3"/>
      <c r="G61" s="3"/>
      <c r="H61" s="11"/>
      <c r="I61" s="3"/>
      <c r="J61" s="6"/>
      <c r="K61" s="3"/>
    </row>
    <row r="62" spans="1:11">
      <c r="A62" s="3"/>
      <c r="B62" s="3"/>
      <c r="C62" s="3"/>
      <c r="D62" s="3"/>
      <c r="E62" s="3"/>
      <c r="F62" s="3"/>
      <c r="G62" s="3"/>
      <c r="H62" s="11"/>
      <c r="I62" s="3"/>
      <c r="J62" s="6"/>
      <c r="K6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J14" sqref="J14"/>
    </sheetView>
  </sheetViews>
  <sheetFormatPr defaultRowHeight="14"/>
  <cols>
    <col min="1" max="1" width="10.83203125" bestFit="1" customWidth="1"/>
    <col min="2" max="2" width="10.08203125" bestFit="1" customWidth="1"/>
    <col min="3" max="3" width="13.4140625" bestFit="1" customWidth="1"/>
    <col min="4" max="4" width="14.1640625" bestFit="1" customWidth="1"/>
    <col min="9" max="9" width="10.5" bestFit="1" customWidth="1"/>
    <col min="11" max="11" width="8.75" style="15"/>
    <col min="12" max="12" width="19.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23</v>
      </c>
      <c r="G1" s="1" t="s">
        <v>31</v>
      </c>
      <c r="H1" s="1" t="s">
        <v>5</v>
      </c>
      <c r="I1" s="1" t="s">
        <v>7</v>
      </c>
      <c r="J1" s="1" t="s">
        <v>10</v>
      </c>
      <c r="K1" s="13" t="s">
        <v>32</v>
      </c>
      <c r="L1" s="1" t="s">
        <v>29</v>
      </c>
      <c r="M1" s="1" t="s">
        <v>30</v>
      </c>
    </row>
    <row r="2" spans="1:15">
      <c r="A2" s="3" t="s">
        <v>19</v>
      </c>
      <c r="B2" s="9">
        <v>46014</v>
      </c>
      <c r="C2" s="8" t="s">
        <v>8</v>
      </c>
      <c r="D2" s="8" t="s">
        <v>27</v>
      </c>
      <c r="E2" s="8">
        <v>110</v>
      </c>
      <c r="F2" s="8">
        <f>E2/6</f>
        <v>18.333333333333332</v>
      </c>
      <c r="G2" s="8">
        <f>F2*86</f>
        <v>1576.6666666666665</v>
      </c>
      <c r="H2" s="8">
        <v>500</v>
      </c>
      <c r="I2" s="8">
        <v>1260</v>
      </c>
      <c r="J2" s="8" t="s">
        <v>38</v>
      </c>
      <c r="K2" s="14">
        <f t="shared" ref="K2:K24" si="0">G2+H2+I2</f>
        <v>3336.6666666666665</v>
      </c>
      <c r="L2" s="8">
        <v>2600</v>
      </c>
      <c r="M2" s="8">
        <f t="shared" ref="M2:M24" si="1">K2-L2</f>
        <v>736.66666666666652</v>
      </c>
    </row>
    <row r="3" spans="1:15">
      <c r="A3" s="3" t="s">
        <v>19</v>
      </c>
      <c r="B3" s="9">
        <v>46015</v>
      </c>
      <c r="C3" s="8" t="s">
        <v>27</v>
      </c>
      <c r="D3" s="8" t="s">
        <v>34</v>
      </c>
      <c r="E3" s="8">
        <v>420</v>
      </c>
      <c r="F3" s="8">
        <f>E3/6</f>
        <v>70</v>
      </c>
      <c r="G3" s="8">
        <f>F3*86</f>
        <v>6020</v>
      </c>
      <c r="H3" s="8">
        <v>0</v>
      </c>
      <c r="I3" s="8">
        <v>1500</v>
      </c>
      <c r="J3" s="8" t="s">
        <v>33</v>
      </c>
      <c r="K3" s="14">
        <f t="shared" si="0"/>
        <v>7520</v>
      </c>
      <c r="L3" s="8">
        <f>5000+1500+1000+1000</f>
        <v>8500</v>
      </c>
      <c r="M3" s="8">
        <f t="shared" si="1"/>
        <v>-980</v>
      </c>
    </row>
    <row r="4" spans="1:15">
      <c r="A4" s="3" t="s">
        <v>18</v>
      </c>
      <c r="B4" s="9">
        <v>46016</v>
      </c>
      <c r="C4" s="8" t="s">
        <v>8</v>
      </c>
      <c r="D4" s="8" t="s">
        <v>27</v>
      </c>
      <c r="E4" s="8">
        <v>110</v>
      </c>
      <c r="F4" s="8">
        <f>E4/6</f>
        <v>18.333333333333332</v>
      </c>
      <c r="G4" s="8">
        <f>F4*86</f>
        <v>1576.6666666666665</v>
      </c>
      <c r="H4" s="8">
        <v>0</v>
      </c>
      <c r="I4" s="8">
        <v>0</v>
      </c>
      <c r="J4" s="8">
        <v>0</v>
      </c>
      <c r="K4" s="14">
        <f t="shared" si="0"/>
        <v>1576.6666666666665</v>
      </c>
      <c r="L4" s="8">
        <v>0</v>
      </c>
      <c r="M4" s="8">
        <f t="shared" si="1"/>
        <v>1576.6666666666665</v>
      </c>
    </row>
    <row r="5" spans="1:15">
      <c r="A5" s="3" t="s">
        <v>18</v>
      </c>
      <c r="B5" s="9">
        <v>46016</v>
      </c>
      <c r="C5" s="8" t="s">
        <v>27</v>
      </c>
      <c r="D5" s="8" t="s">
        <v>35</v>
      </c>
      <c r="E5" s="8">
        <v>210</v>
      </c>
      <c r="F5" s="8">
        <f>E5/6</f>
        <v>35</v>
      </c>
      <c r="G5" s="8">
        <f>F5*86</f>
        <v>3010</v>
      </c>
      <c r="H5" s="8">
        <v>0</v>
      </c>
      <c r="I5" s="8">
        <f>400+1500</f>
        <v>1900</v>
      </c>
      <c r="J5" s="8" t="s">
        <v>37</v>
      </c>
      <c r="K5" s="14">
        <f t="shared" si="0"/>
        <v>4910</v>
      </c>
      <c r="L5" s="8">
        <v>4000</v>
      </c>
      <c r="M5" s="8">
        <f t="shared" si="1"/>
        <v>910</v>
      </c>
    </row>
    <row r="6" spans="1:15" s="16" customFormat="1">
      <c r="A6" s="17" t="s">
        <v>19</v>
      </c>
      <c r="B6" s="18">
        <v>46017</v>
      </c>
      <c r="C6" s="19" t="s">
        <v>27</v>
      </c>
      <c r="D6" s="19" t="s">
        <v>39</v>
      </c>
      <c r="E6" s="19">
        <v>420</v>
      </c>
      <c r="F6" s="19">
        <f t="shared" ref="F6:F24" si="2">E6/6</f>
        <v>70</v>
      </c>
      <c r="G6" s="19">
        <f t="shared" ref="G6:G7" si="3">F6*86</f>
        <v>6020</v>
      </c>
      <c r="H6" s="19">
        <v>0</v>
      </c>
      <c r="I6" s="19">
        <v>1500</v>
      </c>
      <c r="J6" s="19" t="s">
        <v>33</v>
      </c>
      <c r="K6" s="20">
        <f t="shared" si="0"/>
        <v>7520</v>
      </c>
      <c r="L6" s="19">
        <v>6000</v>
      </c>
      <c r="M6" s="19">
        <f t="shared" si="1"/>
        <v>1520</v>
      </c>
    </row>
    <row r="7" spans="1:15">
      <c r="A7" s="3" t="s">
        <v>18</v>
      </c>
      <c r="B7" s="9">
        <v>46017</v>
      </c>
      <c r="C7" s="8" t="s">
        <v>27</v>
      </c>
      <c r="D7" s="8" t="s">
        <v>40</v>
      </c>
      <c r="E7" s="8">
        <v>230</v>
      </c>
      <c r="F7" s="8">
        <f t="shared" si="2"/>
        <v>38.333333333333336</v>
      </c>
      <c r="G7" s="8">
        <f t="shared" si="3"/>
        <v>3296.666666666667</v>
      </c>
      <c r="H7" s="8">
        <v>0</v>
      </c>
      <c r="I7" s="8">
        <f>1500+100</f>
        <v>1600</v>
      </c>
      <c r="J7" s="8" t="s">
        <v>44</v>
      </c>
      <c r="K7" s="14">
        <f t="shared" si="0"/>
        <v>4896.666666666667</v>
      </c>
      <c r="L7" s="8">
        <v>3000</v>
      </c>
      <c r="M7" s="8">
        <f t="shared" si="1"/>
        <v>1896.666666666667</v>
      </c>
    </row>
    <row r="8" spans="1:15">
      <c r="A8" s="3" t="s">
        <v>16</v>
      </c>
      <c r="B8" s="9">
        <v>46017</v>
      </c>
      <c r="C8" s="8" t="s">
        <v>8</v>
      </c>
      <c r="D8" s="8" t="s">
        <v>27</v>
      </c>
      <c r="E8" s="8">
        <v>110</v>
      </c>
      <c r="F8" s="8">
        <f t="shared" si="2"/>
        <v>18.333333333333332</v>
      </c>
      <c r="G8" s="8">
        <f>F8*87</f>
        <v>1595</v>
      </c>
      <c r="H8" s="8">
        <v>0</v>
      </c>
      <c r="I8" s="8">
        <v>1000</v>
      </c>
      <c r="J8" s="8" t="s">
        <v>43</v>
      </c>
      <c r="K8" s="14">
        <f t="shared" si="0"/>
        <v>2595</v>
      </c>
      <c r="L8" s="8">
        <f>1500+500</f>
        <v>2000</v>
      </c>
      <c r="M8" s="8">
        <f t="shared" si="1"/>
        <v>595</v>
      </c>
    </row>
    <row r="9" spans="1:15" s="16" customFormat="1">
      <c r="A9" s="17" t="s">
        <v>16</v>
      </c>
      <c r="B9" s="18">
        <v>46018</v>
      </c>
      <c r="C9" s="19" t="s">
        <v>27</v>
      </c>
      <c r="D9" s="19" t="s">
        <v>35</v>
      </c>
      <c r="E9" s="19">
        <v>210</v>
      </c>
      <c r="F9" s="19">
        <f t="shared" si="2"/>
        <v>35</v>
      </c>
      <c r="G9" s="19">
        <f t="shared" ref="G9:G24" si="4">F9*87</f>
        <v>3045</v>
      </c>
      <c r="H9" s="19">
        <v>0</v>
      </c>
      <c r="I9" s="19">
        <v>1500</v>
      </c>
      <c r="J9" s="19" t="s">
        <v>33</v>
      </c>
      <c r="K9" s="20">
        <f t="shared" si="0"/>
        <v>4545</v>
      </c>
      <c r="L9" s="19">
        <v>3000</v>
      </c>
      <c r="M9" s="19">
        <f t="shared" si="1"/>
        <v>1545</v>
      </c>
    </row>
    <row r="10" spans="1:15">
      <c r="A10" s="3" t="s">
        <v>18</v>
      </c>
      <c r="B10" s="9">
        <v>46018</v>
      </c>
      <c r="C10" s="8" t="s">
        <v>27</v>
      </c>
      <c r="D10" s="8" t="s">
        <v>45</v>
      </c>
      <c r="E10" s="8">
        <v>220</v>
      </c>
      <c r="F10" s="8">
        <f t="shared" si="2"/>
        <v>36.666666666666664</v>
      </c>
      <c r="G10" s="8">
        <f t="shared" si="4"/>
        <v>3190</v>
      </c>
      <c r="H10" s="8">
        <v>0</v>
      </c>
      <c r="I10" s="8">
        <f>1500+60</f>
        <v>1560</v>
      </c>
      <c r="J10" s="8" t="s">
        <v>51</v>
      </c>
      <c r="K10" s="14">
        <f t="shared" si="0"/>
        <v>4750</v>
      </c>
      <c r="L10" s="8">
        <v>3000</v>
      </c>
      <c r="M10" s="8">
        <f t="shared" si="1"/>
        <v>1750</v>
      </c>
    </row>
    <row r="11" spans="1:15">
      <c r="A11" s="3" t="s">
        <v>20</v>
      </c>
      <c r="B11" s="9">
        <v>46018</v>
      </c>
      <c r="C11" s="8" t="s">
        <v>8</v>
      </c>
      <c r="D11" s="8" t="s">
        <v>27</v>
      </c>
      <c r="E11" s="8">
        <v>110</v>
      </c>
      <c r="F11" s="8">
        <f t="shared" si="2"/>
        <v>18.333333333333332</v>
      </c>
      <c r="G11" s="8">
        <f t="shared" si="4"/>
        <v>1595</v>
      </c>
      <c r="H11" s="8">
        <v>0</v>
      </c>
      <c r="I11" s="8">
        <v>1000</v>
      </c>
      <c r="J11" s="8" t="s">
        <v>43</v>
      </c>
      <c r="K11" s="14">
        <f t="shared" si="0"/>
        <v>2595</v>
      </c>
      <c r="L11" s="8">
        <v>1500</v>
      </c>
      <c r="M11" s="8">
        <f t="shared" si="1"/>
        <v>1095</v>
      </c>
    </row>
    <row r="12" spans="1:15">
      <c r="A12" s="3" t="s">
        <v>20</v>
      </c>
      <c r="B12" s="9">
        <v>46019</v>
      </c>
      <c r="C12" s="8" t="s">
        <v>27</v>
      </c>
      <c r="D12" s="8" t="s">
        <v>35</v>
      </c>
      <c r="E12" s="8">
        <v>210</v>
      </c>
      <c r="F12" s="8">
        <f t="shared" si="2"/>
        <v>35</v>
      </c>
      <c r="G12" s="8">
        <f t="shared" si="4"/>
        <v>3045</v>
      </c>
      <c r="H12" s="8">
        <v>0</v>
      </c>
      <c r="I12" s="8">
        <v>1500</v>
      </c>
      <c r="J12" s="8" t="s">
        <v>33</v>
      </c>
      <c r="K12" s="14">
        <f t="shared" si="0"/>
        <v>4545</v>
      </c>
      <c r="L12" s="8">
        <v>3000</v>
      </c>
      <c r="M12" s="8">
        <f t="shared" si="1"/>
        <v>1545</v>
      </c>
    </row>
    <row r="13" spans="1:15">
      <c r="A13" s="17" t="s">
        <v>19</v>
      </c>
      <c r="B13" s="9">
        <v>46019</v>
      </c>
      <c r="C13" s="8" t="s">
        <v>27</v>
      </c>
      <c r="D13" s="8" t="s">
        <v>46</v>
      </c>
      <c r="E13" s="8">
        <v>310</v>
      </c>
      <c r="F13" s="8">
        <f t="shared" si="2"/>
        <v>51.666666666666664</v>
      </c>
      <c r="G13" s="8">
        <f t="shared" si="4"/>
        <v>4495</v>
      </c>
      <c r="H13" s="8">
        <v>0</v>
      </c>
      <c r="I13" s="8">
        <v>1500</v>
      </c>
      <c r="J13" s="8" t="s">
        <v>33</v>
      </c>
      <c r="K13" s="14">
        <f t="shared" si="0"/>
        <v>5995</v>
      </c>
      <c r="L13" s="8">
        <v>4500</v>
      </c>
      <c r="M13" s="8">
        <f t="shared" si="1"/>
        <v>1495</v>
      </c>
      <c r="O13" s="16"/>
    </row>
    <row r="14" spans="1:15">
      <c r="A14" s="3" t="s">
        <v>16</v>
      </c>
      <c r="B14" s="9">
        <v>46019</v>
      </c>
      <c r="C14" s="8" t="s">
        <v>27</v>
      </c>
      <c r="D14" s="8" t="s">
        <v>46</v>
      </c>
      <c r="E14" s="8">
        <v>310</v>
      </c>
      <c r="F14" s="8">
        <f t="shared" si="2"/>
        <v>51.666666666666664</v>
      </c>
      <c r="G14" s="8">
        <f t="shared" si="4"/>
        <v>4495</v>
      </c>
      <c r="H14" s="8">
        <v>0</v>
      </c>
      <c r="I14" s="8">
        <f>1500+150</f>
        <v>1650</v>
      </c>
      <c r="J14" s="8" t="s">
        <v>47</v>
      </c>
      <c r="K14" s="14">
        <f t="shared" si="0"/>
        <v>6145</v>
      </c>
      <c r="L14" s="8">
        <v>4500</v>
      </c>
      <c r="M14" s="8">
        <f t="shared" si="1"/>
        <v>1645</v>
      </c>
    </row>
    <row r="15" spans="1:15">
      <c r="A15" s="3" t="s">
        <v>18</v>
      </c>
      <c r="B15" s="9">
        <v>46018</v>
      </c>
      <c r="C15" s="8" t="s">
        <v>27</v>
      </c>
      <c r="D15" s="8" t="s">
        <v>48</v>
      </c>
      <c r="E15" s="8">
        <v>255</v>
      </c>
      <c r="F15" s="8">
        <f t="shared" si="2"/>
        <v>42.5</v>
      </c>
      <c r="G15" s="8">
        <f t="shared" si="4"/>
        <v>3697.5</v>
      </c>
      <c r="H15" s="8">
        <v>0</v>
      </c>
      <c r="I15" s="8">
        <f>1500+60</f>
        <v>1560</v>
      </c>
      <c r="J15" s="8" t="s">
        <v>49</v>
      </c>
      <c r="K15" s="14">
        <f t="shared" si="0"/>
        <v>5257.5</v>
      </c>
      <c r="L15" s="8">
        <v>3500</v>
      </c>
      <c r="M15" s="8">
        <f t="shared" si="1"/>
        <v>1757.5</v>
      </c>
    </row>
    <row r="16" spans="1:15">
      <c r="A16" s="8"/>
      <c r="B16" s="8"/>
      <c r="C16" s="8"/>
      <c r="D16" s="8"/>
      <c r="E16" s="8"/>
      <c r="F16" s="8">
        <f t="shared" si="2"/>
        <v>0</v>
      </c>
      <c r="G16" s="8">
        <f t="shared" si="4"/>
        <v>0</v>
      </c>
      <c r="H16" s="8"/>
      <c r="I16" s="8"/>
      <c r="J16" s="8"/>
      <c r="K16" s="14">
        <f t="shared" si="0"/>
        <v>0</v>
      </c>
      <c r="L16" s="8"/>
      <c r="M16" s="8">
        <f t="shared" si="1"/>
        <v>0</v>
      </c>
    </row>
    <row r="17" spans="1:13">
      <c r="A17" s="8"/>
      <c r="B17" s="8"/>
      <c r="C17" s="8"/>
      <c r="D17" s="8"/>
      <c r="E17" s="8"/>
      <c r="F17" s="8">
        <f t="shared" si="2"/>
        <v>0</v>
      </c>
      <c r="G17" s="8">
        <f t="shared" si="4"/>
        <v>0</v>
      </c>
      <c r="H17" s="8"/>
      <c r="I17" s="8"/>
      <c r="J17" s="8"/>
      <c r="K17" s="14">
        <f t="shared" si="0"/>
        <v>0</v>
      </c>
      <c r="L17" s="8"/>
      <c r="M17" s="8">
        <f t="shared" si="1"/>
        <v>0</v>
      </c>
    </row>
    <row r="18" spans="1:13">
      <c r="A18" s="8"/>
      <c r="B18" s="8"/>
      <c r="C18" s="8"/>
      <c r="D18" s="8"/>
      <c r="E18" s="8"/>
      <c r="F18" s="8">
        <f t="shared" si="2"/>
        <v>0</v>
      </c>
      <c r="G18" s="8">
        <f t="shared" si="4"/>
        <v>0</v>
      </c>
      <c r="H18" s="8"/>
      <c r="I18" s="8"/>
      <c r="J18" s="8"/>
      <c r="K18" s="14">
        <f t="shared" si="0"/>
        <v>0</v>
      </c>
      <c r="L18" s="8"/>
      <c r="M18" s="8">
        <f t="shared" si="1"/>
        <v>0</v>
      </c>
    </row>
    <row r="19" spans="1:13">
      <c r="A19" s="8"/>
      <c r="B19" s="8"/>
      <c r="C19" s="8"/>
      <c r="D19" s="8"/>
      <c r="E19" s="8"/>
      <c r="F19" s="8">
        <f t="shared" si="2"/>
        <v>0</v>
      </c>
      <c r="G19" s="8">
        <f t="shared" si="4"/>
        <v>0</v>
      </c>
      <c r="H19" s="8"/>
      <c r="I19" s="8"/>
      <c r="J19" s="8"/>
      <c r="K19" s="14">
        <f t="shared" si="0"/>
        <v>0</v>
      </c>
      <c r="L19" s="8"/>
      <c r="M19" s="8">
        <f t="shared" si="1"/>
        <v>0</v>
      </c>
    </row>
    <row r="20" spans="1:13">
      <c r="A20" s="8"/>
      <c r="B20" s="8"/>
      <c r="C20" s="8"/>
      <c r="D20" s="8"/>
      <c r="E20" s="8"/>
      <c r="F20" s="8">
        <f t="shared" si="2"/>
        <v>0</v>
      </c>
      <c r="G20" s="8">
        <f t="shared" si="4"/>
        <v>0</v>
      </c>
      <c r="H20" s="8"/>
      <c r="I20" s="8"/>
      <c r="J20" s="8"/>
      <c r="K20" s="14">
        <f t="shared" si="0"/>
        <v>0</v>
      </c>
      <c r="L20" s="8"/>
      <c r="M20" s="8">
        <f t="shared" si="1"/>
        <v>0</v>
      </c>
    </row>
    <row r="21" spans="1:13">
      <c r="A21" s="8"/>
      <c r="B21" s="8"/>
      <c r="C21" s="8"/>
      <c r="D21" s="8"/>
      <c r="E21" s="8"/>
      <c r="F21" s="8">
        <f t="shared" si="2"/>
        <v>0</v>
      </c>
      <c r="G21" s="8">
        <f t="shared" si="4"/>
        <v>0</v>
      </c>
      <c r="H21" s="8"/>
      <c r="I21" s="8"/>
      <c r="J21" s="8"/>
      <c r="K21" s="14">
        <f t="shared" si="0"/>
        <v>0</v>
      </c>
      <c r="L21" s="8"/>
      <c r="M21" s="8">
        <f t="shared" si="1"/>
        <v>0</v>
      </c>
    </row>
    <row r="22" spans="1:13">
      <c r="A22" s="8"/>
      <c r="B22" s="8"/>
      <c r="C22" s="8"/>
      <c r="D22" s="8"/>
      <c r="E22" s="8"/>
      <c r="F22" s="8">
        <f t="shared" si="2"/>
        <v>0</v>
      </c>
      <c r="G22" s="8">
        <f t="shared" si="4"/>
        <v>0</v>
      </c>
      <c r="H22" s="8"/>
      <c r="I22" s="8"/>
      <c r="J22" s="8"/>
      <c r="K22" s="14">
        <f t="shared" si="0"/>
        <v>0</v>
      </c>
      <c r="L22" s="8"/>
      <c r="M22" s="8">
        <f t="shared" si="1"/>
        <v>0</v>
      </c>
    </row>
    <row r="23" spans="1:13">
      <c r="A23" s="8"/>
      <c r="B23" s="8"/>
      <c r="C23" s="8"/>
      <c r="D23" s="8"/>
      <c r="E23" s="8"/>
      <c r="F23" s="8">
        <f t="shared" si="2"/>
        <v>0</v>
      </c>
      <c r="G23" s="8">
        <f t="shared" si="4"/>
        <v>0</v>
      </c>
      <c r="H23" s="8"/>
      <c r="I23" s="8"/>
      <c r="J23" s="8"/>
      <c r="K23" s="14">
        <f t="shared" si="0"/>
        <v>0</v>
      </c>
      <c r="L23" s="8"/>
      <c r="M23" s="8">
        <f t="shared" si="1"/>
        <v>0</v>
      </c>
    </row>
    <row r="24" spans="1:13">
      <c r="A24" s="8"/>
      <c r="B24" s="8"/>
      <c r="C24" s="8"/>
      <c r="D24" s="8"/>
      <c r="E24" s="8"/>
      <c r="F24" s="8">
        <f t="shared" si="2"/>
        <v>0</v>
      </c>
      <c r="G24" s="8">
        <f t="shared" si="4"/>
        <v>0</v>
      </c>
      <c r="H24" s="8"/>
      <c r="I24" s="8"/>
      <c r="J24" s="8"/>
      <c r="K24" s="14">
        <f t="shared" si="0"/>
        <v>0</v>
      </c>
      <c r="L24" s="8"/>
      <c r="M24" s="8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F12" sqref="F12"/>
    </sheetView>
  </sheetViews>
  <sheetFormatPr defaultRowHeight="14"/>
  <cols>
    <col min="1" max="1" width="14.33203125" style="5" bestFit="1" customWidth="1"/>
    <col min="2" max="2" width="19.08203125" style="5" bestFit="1" customWidth="1"/>
  </cols>
  <sheetData>
    <row r="1" spans="1:5">
      <c r="A1" s="1" t="s">
        <v>14</v>
      </c>
      <c r="B1" s="1" t="s">
        <v>15</v>
      </c>
    </row>
    <row r="2" spans="1:5">
      <c r="A2" s="3">
        <v>5000</v>
      </c>
      <c r="B2" s="4">
        <v>45968</v>
      </c>
    </row>
    <row r="3" spans="1:5">
      <c r="A3" s="3">
        <v>10000</v>
      </c>
      <c r="B3" s="4">
        <v>45994</v>
      </c>
    </row>
    <row r="4" spans="1:5">
      <c r="A4" s="3">
        <v>2000</v>
      </c>
      <c r="B4" s="4">
        <v>46003</v>
      </c>
    </row>
    <row r="5" spans="1:5">
      <c r="A5" s="3">
        <v>5000</v>
      </c>
      <c r="B5" s="4">
        <v>45649</v>
      </c>
    </row>
    <row r="6" spans="1:5">
      <c r="A6" s="3">
        <f>12000+9000</f>
        <v>21000</v>
      </c>
      <c r="B6" s="4">
        <v>46015</v>
      </c>
    </row>
    <row r="7" spans="1:5">
      <c r="A7" s="3">
        <v>10000</v>
      </c>
      <c r="B7" s="4">
        <v>46016</v>
      </c>
    </row>
    <row r="8" spans="1:5">
      <c r="A8" s="3">
        <v>15000</v>
      </c>
      <c r="B8" s="4">
        <v>46017</v>
      </c>
      <c r="E8">
        <v>108000</v>
      </c>
    </row>
    <row r="9" spans="1:5">
      <c r="A9" s="3">
        <v>20000</v>
      </c>
      <c r="B9" s="4">
        <v>46018</v>
      </c>
      <c r="E9">
        <v>109978</v>
      </c>
    </row>
    <row r="10" spans="1:5">
      <c r="A10" s="3">
        <v>15000</v>
      </c>
      <c r="B10" s="4">
        <v>46019</v>
      </c>
      <c r="E10">
        <f>E8-E9</f>
        <v>-1978</v>
      </c>
    </row>
    <row r="11" spans="1:5">
      <c r="A11" s="3">
        <v>5000</v>
      </c>
      <c r="B11" s="4">
        <v>46019</v>
      </c>
      <c r="E11" t="s">
        <v>50</v>
      </c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EXP.</vt:lpstr>
      <vt:lpstr>DRIVER EXP.</vt:lpstr>
      <vt:lpstr>CASH RECEIVED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Ashish Yadav</cp:lastModifiedBy>
  <dcterms:created xsi:type="dcterms:W3CDTF">2025-11-11T09:09:20Z</dcterms:created>
  <dcterms:modified xsi:type="dcterms:W3CDTF">2025-12-30T06:28:36Z</dcterms:modified>
</cp:coreProperties>
</file>